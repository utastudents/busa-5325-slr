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6D7BE3D0-9255-6837-6703-DDC3ED590948}"/>
  <workbookPr codeName="ThisWorkbook" defaultThemeVersion="124226"/>
  <bookViews>
    <workbookView xWindow="120" yWindow="45" windowWidth="15135" windowHeight="8130"/>
  </bookViews>
  <sheets>
    <sheet name="Sheet1" sheetId="1" r:id="rId1"/>
    <sheet name="Sheet2" sheetId="2" r:id="rId2"/>
    <sheet name="Sheet3" sheetId="3" r:id="rId3"/>
  </sheets>
  <definedNames>
    <definedName name="n">Sheet1!$B$1</definedName>
    <definedName name="p">Sheet1!$B$2</definedName>
  </definedNames>
  <calcPr calcId="125725"/>
</workbook>
</file>

<file path=xl/calcChain.xml><?xml version="1.0" encoding="utf-8"?>
<calcChain xmlns="http://schemas.openxmlformats.org/spreadsheetml/2006/main">
  <c r="E3" i="1"/>
  <c r="E4"/>
  <c r="E5"/>
  <c r="E6"/>
  <c r="E7"/>
  <c r="E8"/>
  <c r="E9"/>
  <c r="E10"/>
  <c r="E11"/>
  <c r="E12"/>
  <c r="E13"/>
  <c r="E14"/>
  <c r="E15"/>
  <c r="E16"/>
  <c r="E17"/>
  <c r="E18"/>
  <c r="E19"/>
  <c r="E20"/>
  <c r="E21"/>
  <c r="E22"/>
  <c r="E23"/>
  <c r="E24"/>
  <c r="E25"/>
  <c r="E26"/>
  <c r="E27"/>
  <c r="E2"/>
  <c r="B4"/>
  <c r="B3"/>
</calcChain>
</file>

<file path=xl/sharedStrings.xml><?xml version="1.0" encoding="utf-8"?>
<sst xmlns="http://schemas.openxmlformats.org/spreadsheetml/2006/main" count="6" uniqueCount="6">
  <si>
    <t>n=</t>
  </si>
  <si>
    <t>p=</t>
  </si>
  <si>
    <t>x</t>
  </si>
  <si>
    <t>Prob</t>
  </si>
  <si>
    <t>np</t>
  </si>
  <si>
    <t>n(1-p)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</si>
</sst>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-"/>
  <ax:ocxPr ax:name="Size" ax:value="1244;1455"/>
  <ax:ocxPr ax:name="FontName" ax:value="Calibri"/>
  <ax:ocxPr ax:name="FontHeight" ax:value="405"/>
  <ax:ocxPr ax:name="FontCharSet" ax:value="0"/>
  <ax:ocxPr ax:name="FontPitchAndFamily" ax:value="2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+"/>
  <ax:ocxPr ax:name="Size" ax:value="1244;1482"/>
  <ax:ocxPr ax:name="FontName" ax:value="Calibri"/>
  <ax:ocxPr ax:name="FontHeight" ax:value="405"/>
  <ax:ocxPr ax:name="FontCharSet" ax:value="0"/>
  <ax:ocxPr ax:name="FontPitchAndFamily" ax:value="2"/>
  <ax:ocxPr ax:name="ParagraphAlign" ax:value="3"/>
</ax:ocx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/>
      <c:scatterChart>
        <c:scatterStyle val="lineMarker"/>
        <c:ser>
          <c:idx val="0"/>
          <c:order val="0"/>
          <c:tx>
            <c:strRef>
              <c:f>Sheet1!$E$1</c:f>
              <c:strCache>
                <c:ptCount val="1"/>
                <c:pt idx="0">
                  <c:v>Prob</c:v>
                </c:pt>
              </c:strCache>
            </c:strRef>
          </c:tx>
          <c:xVal>
            <c:numRef>
              <c:f>Sheet1!$D$2:$D$27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Sheet1!$E$2:$E$27</c:f>
              <c:numCache>
                <c:formatCode>General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1.3248974242351952E-3</c:v>
                </c:pt>
                <c:pt idx="11">
                  <c:v>4.2155827134756213E-3</c:v>
                </c:pt>
                <c:pt idx="12">
                  <c:v>1.1475752942239192E-2</c:v>
                </c:pt>
                <c:pt idx="13">
                  <c:v>2.6776756865224776E-2</c:v>
                </c:pt>
                <c:pt idx="14">
                  <c:v>5.3553513730449531E-2</c:v>
                </c:pt>
                <c:pt idx="15">
                  <c:v>9.163601238321363E-2</c:v>
                </c:pt>
                <c:pt idx="16">
                  <c:v>0.13363585139218653</c:v>
                </c:pt>
                <c:pt idx="17">
                  <c:v>0.16507958113152449</c:v>
                </c:pt>
                <c:pt idx="18">
                  <c:v>0.17119363969195134</c:v>
                </c:pt>
                <c:pt idx="19">
                  <c:v>0.14716646219132651</c:v>
                </c:pt>
                <c:pt idx="20">
                  <c:v>0.10301652353392855</c:v>
                </c:pt>
                <c:pt idx="21">
                  <c:v>5.7231401963293647E-2</c:v>
                </c:pt>
                <c:pt idx="22">
                  <c:v>2.4279988711700323E-2</c:v>
                </c:pt>
                <c:pt idx="23">
                  <c:v>7.3895617818218306E-3</c:v>
                </c:pt>
                <c:pt idx="24">
                  <c:v>1.436859235354246E-3</c:v>
                </c:pt>
                <c:pt idx="25">
                  <c:v>0</c:v>
                </c:pt>
              </c:numCache>
            </c:numRef>
          </c:yVal>
        </c:ser>
        <c:axId val="83601664"/>
        <c:axId val="105336832"/>
      </c:scatterChart>
      <c:valAx>
        <c:axId val="83601664"/>
        <c:scaling>
          <c:orientation val="minMax"/>
          <c:max val="25"/>
          <c:min val="0"/>
        </c:scaling>
        <c:axPos val="b"/>
        <c:numFmt formatCode="General" sourceLinked="1"/>
        <c:tickLblPos val="nextTo"/>
        <c:crossAx val="105336832"/>
        <c:crosses val="autoZero"/>
        <c:crossBetween val="midCat"/>
      </c:valAx>
      <c:valAx>
        <c:axId val="105336832"/>
        <c:scaling>
          <c:orientation val="minMax"/>
        </c:scaling>
        <c:axPos val="l"/>
        <c:majorGridlines/>
        <c:numFmt formatCode="General" sourceLinked="1"/>
        <c:tickLblPos val="nextTo"/>
        <c:crossAx val="83601664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161925</xdr:colOff>
      <xdr:row>5</xdr:row>
      <xdr:rowOff>9525</xdr:rowOff>
    </xdr:from>
    <xdr:to>
      <xdr:col>13</xdr:col>
      <xdr:colOff>466725</xdr:colOff>
      <xdr:row>19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ntrol" Target="../activeX/activeX2.xml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27"/>
  <sheetViews>
    <sheetView tabSelected="1" workbookViewId="0">
      <selection activeCell="E1" sqref="E1:E1048576"/>
    </sheetView>
  </sheetViews>
  <sheetFormatPr defaultRowHeight="15"/>
  <cols>
    <col min="3" max="3" width="3.5703125" customWidth="1"/>
    <col min="5" max="5" width="9.140625" style="1"/>
  </cols>
  <sheetData>
    <row r="1" spans="1:5">
      <c r="A1" t="s">
        <v>0</v>
      </c>
      <c r="B1">
        <v>25</v>
      </c>
      <c r="D1" t="s">
        <v>2</v>
      </c>
      <c r="E1" s="1" t="s">
        <v>3</v>
      </c>
    </row>
    <row r="2" spans="1:5">
      <c r="A2" t="s">
        <v>1</v>
      </c>
      <c r="B2">
        <v>0.7</v>
      </c>
      <c r="D2">
        <v>0</v>
      </c>
      <c r="E2" s="1">
        <f>IF(BINOMDIST(D2,n,p,FALSE)&lt;0.0005,0,BINOMDIST(D2,n,p,FALSE))</f>
        <v>0</v>
      </c>
    </row>
    <row r="3" spans="1:5">
      <c r="A3" t="s">
        <v>4</v>
      </c>
      <c r="B3">
        <f>n*p</f>
        <v>17.5</v>
      </c>
      <c r="D3">
        <v>1</v>
      </c>
      <c r="E3" s="1">
        <f>IF(BINOMDIST(D3,n,p,FALSE)&lt;0.0005,0,BINOMDIST(D3,n,p,FALSE))</f>
        <v>0</v>
      </c>
    </row>
    <row r="4" spans="1:5">
      <c r="A4" t="s">
        <v>5</v>
      </c>
      <c r="B4">
        <f>n*(1-p)</f>
        <v>7.5000000000000009</v>
      </c>
      <c r="D4">
        <v>2</v>
      </c>
      <c r="E4" s="1">
        <f>IF(BINOMDIST(D4,n,p,FALSE)&lt;0.0005,0,BINOMDIST(D4,n,p,FALSE))</f>
        <v>0</v>
      </c>
    </row>
    <row r="5" spans="1:5">
      <c r="D5">
        <v>3</v>
      </c>
      <c r="E5" s="1">
        <f>IF(BINOMDIST(D5,n,p,FALSE)&lt;0.0005,0,BINOMDIST(D5,n,p,FALSE))</f>
        <v>0</v>
      </c>
    </row>
    <row r="6" spans="1:5">
      <c r="D6">
        <v>4</v>
      </c>
      <c r="E6" s="1">
        <f>IF(BINOMDIST(D6,n,p,FALSE)&lt;0.0005,0,BINOMDIST(D6,n,p,FALSE))</f>
        <v>0</v>
      </c>
    </row>
    <row r="7" spans="1:5">
      <c r="D7">
        <v>5</v>
      </c>
      <c r="E7" s="1">
        <f>IF(BINOMDIST(D7,n,p,FALSE)&lt;0.0005,0,BINOMDIST(D7,n,p,FALSE))</f>
        <v>0</v>
      </c>
    </row>
    <row r="8" spans="1:5">
      <c r="D8">
        <v>6</v>
      </c>
      <c r="E8" s="1">
        <f>IF(BINOMDIST(D8,n,p,FALSE)&lt;0.0005,0,BINOMDIST(D8,n,p,FALSE))</f>
        <v>0</v>
      </c>
    </row>
    <row r="9" spans="1:5">
      <c r="D9">
        <v>7</v>
      </c>
      <c r="E9" s="1">
        <f>IF(BINOMDIST(D9,n,p,FALSE)&lt;0.0005,0,BINOMDIST(D9,n,p,FALSE))</f>
        <v>0</v>
      </c>
    </row>
    <row r="10" spans="1:5">
      <c r="D10">
        <v>8</v>
      </c>
      <c r="E10" s="1">
        <f>IF(BINOMDIST(D10,n,p,FALSE)&lt;0.0005,0,BINOMDIST(D10,n,p,FALSE))</f>
        <v>0</v>
      </c>
    </row>
    <row r="11" spans="1:5">
      <c r="D11">
        <v>9</v>
      </c>
      <c r="E11" s="1">
        <f>IF(BINOMDIST(D11,n,p,FALSE)&lt;0.0005,0,BINOMDIST(D11,n,p,FALSE))</f>
        <v>0</v>
      </c>
    </row>
    <row r="12" spans="1:5">
      <c r="D12">
        <v>10</v>
      </c>
      <c r="E12" s="1">
        <f>IF(BINOMDIST(D12,n,p,FALSE)&lt;0.0005,0,BINOMDIST(D12,n,p,FALSE))</f>
        <v>1.3248974242351952E-3</v>
      </c>
    </row>
    <row r="13" spans="1:5">
      <c r="D13">
        <v>11</v>
      </c>
      <c r="E13" s="1">
        <f>IF(BINOMDIST(D13,n,p,FALSE)&lt;0.0005,0,BINOMDIST(D13,n,p,FALSE))</f>
        <v>4.2155827134756213E-3</v>
      </c>
    </row>
    <row r="14" spans="1:5">
      <c r="D14">
        <v>12</v>
      </c>
      <c r="E14" s="1">
        <f>IF(BINOMDIST(D14,n,p,FALSE)&lt;0.0005,0,BINOMDIST(D14,n,p,FALSE))</f>
        <v>1.1475752942239192E-2</v>
      </c>
    </row>
    <row r="15" spans="1:5">
      <c r="D15">
        <v>13</v>
      </c>
      <c r="E15" s="1">
        <f>IF(BINOMDIST(D15,n,p,FALSE)&lt;0.0005,0,BINOMDIST(D15,n,p,FALSE))</f>
        <v>2.6776756865224776E-2</v>
      </c>
    </row>
    <row r="16" spans="1:5">
      <c r="D16">
        <v>14</v>
      </c>
      <c r="E16" s="1">
        <f>IF(BINOMDIST(D16,n,p,FALSE)&lt;0.0005,0,BINOMDIST(D16,n,p,FALSE))</f>
        <v>5.3553513730449531E-2</v>
      </c>
    </row>
    <row r="17" spans="4:5">
      <c r="D17">
        <v>15</v>
      </c>
      <c r="E17" s="1">
        <f>IF(BINOMDIST(D17,n,p,FALSE)&lt;0.0005,0,BINOMDIST(D17,n,p,FALSE))</f>
        <v>9.163601238321363E-2</v>
      </c>
    </row>
    <row r="18" spans="4:5">
      <c r="D18">
        <v>16</v>
      </c>
      <c r="E18" s="1">
        <f>IF(BINOMDIST(D18,n,p,FALSE)&lt;0.0005,0,BINOMDIST(D18,n,p,FALSE))</f>
        <v>0.13363585139218653</v>
      </c>
    </row>
    <row r="19" spans="4:5">
      <c r="D19">
        <v>17</v>
      </c>
      <c r="E19" s="1">
        <f>IF(BINOMDIST(D19,n,p,FALSE)&lt;0.0005,0,BINOMDIST(D19,n,p,FALSE))</f>
        <v>0.16507958113152449</v>
      </c>
    </row>
    <row r="20" spans="4:5">
      <c r="D20">
        <v>18</v>
      </c>
      <c r="E20" s="1">
        <f>IF(BINOMDIST(D20,n,p,FALSE)&lt;0.0005,0,BINOMDIST(D20,n,p,FALSE))</f>
        <v>0.17119363969195134</v>
      </c>
    </row>
    <row r="21" spans="4:5">
      <c r="D21">
        <v>19</v>
      </c>
      <c r="E21" s="1">
        <f>IF(BINOMDIST(D21,n,p,FALSE)&lt;0.0005,0,BINOMDIST(D21,n,p,FALSE))</f>
        <v>0.14716646219132651</v>
      </c>
    </row>
    <row r="22" spans="4:5">
      <c r="D22">
        <v>20</v>
      </c>
      <c r="E22" s="1">
        <f>IF(BINOMDIST(D22,n,p,FALSE)&lt;0.0005,0,BINOMDIST(D22,n,p,FALSE))</f>
        <v>0.10301652353392855</v>
      </c>
    </row>
    <row r="23" spans="4:5">
      <c r="D23">
        <v>21</v>
      </c>
      <c r="E23" s="1">
        <f>IF(BINOMDIST(D23,n,p,FALSE)&lt;0.0005,0,BINOMDIST(D23,n,p,FALSE))</f>
        <v>5.7231401963293647E-2</v>
      </c>
    </row>
    <row r="24" spans="4:5">
      <c r="D24">
        <v>22</v>
      </c>
      <c r="E24" s="1">
        <f>IF(BINOMDIST(D24,n,p,FALSE)&lt;0.0005,0,BINOMDIST(D24,n,p,FALSE))</f>
        <v>2.4279988711700323E-2</v>
      </c>
    </row>
    <row r="25" spans="4:5">
      <c r="D25">
        <v>23</v>
      </c>
      <c r="E25" s="1">
        <f>IF(BINOMDIST(D25,n,p,FALSE)&lt;0.0005,0,BINOMDIST(D25,n,p,FALSE))</f>
        <v>7.3895617818218306E-3</v>
      </c>
    </row>
    <row r="26" spans="4:5">
      <c r="D26">
        <v>24</v>
      </c>
      <c r="E26" s="1">
        <f>IF(BINOMDIST(D26,n,p,FALSE)&lt;0.0005,0,BINOMDIST(D26,n,p,FALSE))</f>
        <v>1.436859235354246E-3</v>
      </c>
    </row>
    <row r="27" spans="4:5">
      <c r="D27">
        <v>25</v>
      </c>
      <c r="E27" s="1">
        <f>IF(BINOMDIST(D27,n,p,FALSE)&lt;0.0005,0,BINOMDIST(D27,n,p,FALSE))</f>
        <v>0</v>
      </c>
    </row>
  </sheetData>
  <pageMargins left="0.7" right="0.7" top="0.75" bottom="0.75" header="0.3" footer="0.3"/>
  <pageSetup orientation="portrait" horizontalDpi="300" verticalDpi="0" r:id="rId1"/>
  <drawing r:id="rId2"/>
  <legacyDrawing r:id="rId3"/>
  <controls>
    <control shapeId="1025" r:id="rId4" name="CommandButton1"/>
    <control shapeId="1026" r:id="rId5" name="CommandButton2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Sheet1</vt:lpstr>
      <vt:lpstr>Sheet2</vt:lpstr>
      <vt:lpstr>Sheet3</vt:lpstr>
      <vt:lpstr>n</vt:lpstr>
      <vt:lpstr>p</vt:lpstr>
    </vt:vector>
  </TitlesOfParts>
  <Company>University of Texas at Arlington.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eakin</dc:creator>
  <cp:lastModifiedBy>eakin</cp:lastModifiedBy>
  <dcterms:created xsi:type="dcterms:W3CDTF">2009-01-12T15:51:51Z</dcterms:created>
  <dcterms:modified xsi:type="dcterms:W3CDTF">2009-01-12T16:30:16Z</dcterms:modified>
</cp:coreProperties>
</file>